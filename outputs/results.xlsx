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ccuracy" sheetId="2" state="visible" r:id="rId4"/>
    <sheet name="Ablation" sheetId="3" state="visible" r:id="rId5"/>
    <sheet name="Runtime" sheetId="4" state="visible" r:id="rId6"/>
    <sheet name="RealWorld" sheetId="5" state="visible" r:id="rId7"/>
    <sheet name="Graph_ROC" sheetId="6" state="visible" r:id="rId8"/>
    <sheet name="Graph_SHA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<sst xmlns="http://schemas.openxmlformats.org/spreadsheetml/2006/main" count="218" uniqueCount="73">
  <si>
    <t xml:space="preserve">TEFIE-Secure -- results workbook</t>
  </si>
  <si>
    <t xml:space="preserve">Classification metrics (Accuracy, Ablation, RealWorld sheets) are Excel FORMULAS</t>
  </si>
  <si>
    <t xml:space="preserve">over the TP/FP/FN/TN counts, so each metric is auditable in-cell.</t>
  </si>
  <si>
    <t xml:space="preserve">Counts are produced by src/metrics.py from the per-instance predictions in data/.</t>
  </si>
  <si>
    <t xml:space="preserve">The data/ shipped with this artifact is SYNTHETIC smoke-test data and DOES NOT</t>
  </si>
  <si>
    <t xml:space="preserve">reproduce the values in the manuscript. Replace data/ with your real experimental</t>
  </si>
  <si>
    <t xml:space="preserve">outputs (schema in data/SCHEMA.md) and re-run reproduce.py to obtain the paper's</t>
  </si>
  <si>
    <t xml:space="preserve">tables and figures.</t>
  </si>
  <si>
    <t xml:space="preserve">Detection accuracy (default threshold; metrics are formulas of the counts)</t>
  </si>
  <si>
    <t xml:space="preserve">task</t>
  </si>
  <si>
    <t xml:space="preserve">model</t>
  </si>
  <si>
    <t xml:space="preserve">TP</t>
  </si>
  <si>
    <t xml:space="preserve">FP</t>
  </si>
  <si>
    <t xml:space="preserve">FN</t>
  </si>
  <si>
    <t xml:space="preserve">TN</t>
  </si>
  <si>
    <t xml:space="preserve">Precision %</t>
  </si>
  <si>
    <t xml:space="preserve">Recall %</t>
  </si>
  <si>
    <t xml:space="preserve">F1 %</t>
  </si>
  <si>
    <t xml:space="preserve">FPR %</t>
  </si>
  <si>
    <t xml:space="preserve">FNR %</t>
  </si>
  <si>
    <t xml:space="preserve">loops</t>
  </si>
  <si>
    <t xml:space="preserve">FELLMVP</t>
  </si>
  <si>
    <t xml:space="preserve">SCVulBERT</t>
  </si>
  <si>
    <t xml:space="preserve">SmartGuard</t>
  </si>
  <si>
    <t xml:space="preserve">TEFIE-Secure</t>
  </si>
  <si>
    <t xml:space="preserve">VDM-AEI</t>
  </si>
  <si>
    <t xml:space="preserve">reentrancy</t>
  </si>
  <si>
    <t xml:space="preserve">timestamp</t>
  </si>
  <si>
    <t xml:space="preserve">Ablation (F1 derived in-cell from counts)</t>
  </si>
  <si>
    <t xml:space="preserve">variant</t>
  </si>
  <si>
    <t xml:space="preserve">full</t>
  </si>
  <si>
    <t xml:space="preserve">w/o contextual embeddings</t>
  </si>
  <si>
    <t xml:space="preserve">w/o cross-addr. typing</t>
  </si>
  <si>
    <t xml:space="preserve">w/o feature selection</t>
  </si>
  <si>
    <t xml:space="preserve">w/o preprocessing</t>
  </si>
  <si>
    <t xml:space="preserve">w/o residual refiner</t>
  </si>
  <si>
    <t xml:space="preserve">Runtime / resource profile (direct measurements)</t>
  </si>
  <si>
    <t xml:space="preserve">mode</t>
  </si>
  <si>
    <t xml:space="preserve">latency_ms_p50</t>
  </si>
  <si>
    <t xml:space="preserve">latency_ms_p99</t>
  </si>
  <si>
    <t xml:space="preserve">throughput_inst_s</t>
  </si>
  <si>
    <t xml:space="preserve">peak_vram_gb</t>
  </si>
  <si>
    <t xml:space="preserve">params_m</t>
  </si>
  <si>
    <t xml:space="preserve">source</t>
  </si>
  <si>
    <t xml:space="preserve">Slither</t>
  </si>
  <si>
    <t xml:space="preserve">Mythril</t>
  </si>
  <si>
    <t xml:space="preserve">RQ5 post-2023 mainnet (high-recall threshold)</t>
  </si>
  <si>
    <t xml:space="preserve">vuln_type</t>
  </si>
  <si>
    <t xml:space="preserve">disclosed</t>
  </si>
  <si>
    <t xml:space="preserve">flagged</t>
  </si>
  <si>
    <t xml:space="preserve">recall %</t>
  </si>
  <si>
    <t xml:space="preserve">access-control</t>
  </si>
  <si>
    <t xml:space="preserve">bridge</t>
  </si>
  <si>
    <t xml:space="preserve">disclosed_flagged (TP)</t>
  </si>
  <si>
    <t xml:space="preserve">weak_negative_flags (FP)</t>
  </si>
  <si>
    <t xml:space="preserve">weak_negative_precision %</t>
  </si>
  <si>
    <t xml:space="preserve">ROC data (AUC computed by metrics.roc_curve; static points are inputs)</t>
  </si>
  <si>
    <t xml:space="preserve">AUC</t>
  </si>
  <si>
    <t xml:space="preserve">Static-tool points (FPR, TPR)</t>
  </si>
  <si>
    <t xml:space="preserve">tool</t>
  </si>
  <si>
    <t xml:space="preserve">FPR</t>
  </si>
  <si>
    <t xml:space="preserve">TPR</t>
  </si>
  <si>
    <t xml:space="preserve">Feature-importance data (mean |SHAP| inputs)</t>
  </si>
  <si>
    <t xml:space="preserve">feature_group</t>
  </si>
  <si>
    <t xml:space="preserve">mean_abs_shap</t>
  </si>
  <si>
    <t xml:space="preserve">Reentrancy</t>
  </si>
  <si>
    <t xml:space="preserve">call-edge</t>
  </si>
  <si>
    <t xml:space="preserve">state-update</t>
  </si>
  <si>
    <t xml:space="preserve">loop-structure</t>
  </si>
  <si>
    <t xml:space="preserve">block-variable</t>
  </si>
  <si>
    <t xml:space="preserve">normalization</t>
  </si>
  <si>
    <t xml:space="preserve">Timestamp</t>
  </si>
  <si>
    <t xml:space="preserve">Loops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</si>
</sst>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B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445B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4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5" hidden="false" customHeight="false" outlineLevel="0" collapsed="false">
      <c r="A1" s="1" t="s">
        <v>8</v>
      </c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n">
        <v>895</v>
      </c>
      <c r="D4" s="2" t="n">
        <v>112</v>
      </c>
      <c r="E4" s="2" t="n">
        <v>105</v>
      </c>
      <c r="F4" s="2" t="n">
        <v>888</v>
      </c>
      <c r="G4" s="2" t="n">
        <f aca="false">IF((C4+D4)=0,0,100*C4/(C4+D4))</f>
        <v>88.8778550148957</v>
      </c>
      <c r="H4" s="2" t="n">
        <f aca="false">IF((C4+E4)=0,0,100*C4/(C4+E4))</f>
        <v>89.5</v>
      </c>
      <c r="I4" s="2" t="n">
        <f aca="false">IF((2*C4+D4+E4)=0,0,100*2*C4/(2*C4+D4+E4))</f>
        <v>89.1878425510713</v>
      </c>
      <c r="J4" s="2" t="n">
        <f aca="false">IF((D4+F4)=0,0,100*D4/(D4+F4))</f>
        <v>11.2</v>
      </c>
      <c r="K4" s="2" t="n">
        <f aca="false">IF((E4+C4)=0,0,100*E4/(E4+C4))</f>
        <v>10.5</v>
      </c>
    </row>
    <row r="5" customFormat="false" ht="15" hidden="false" customHeight="false" outlineLevel="0" collapsed="false">
      <c r="A5" s="2" t="s">
        <v>20</v>
      </c>
      <c r="B5" s="2" t="s">
        <v>22</v>
      </c>
      <c r="C5" s="2" t="n">
        <v>913</v>
      </c>
      <c r="D5" s="2" t="n">
        <v>148</v>
      </c>
      <c r="E5" s="2" t="n">
        <v>87</v>
      </c>
      <c r="F5" s="2" t="n">
        <v>852</v>
      </c>
      <c r="G5" s="2" t="n">
        <f aca="false">IF((C5+D5)=0,0,100*C5/(C5+D5))</f>
        <v>86.0508953817154</v>
      </c>
      <c r="H5" s="2" t="n">
        <f aca="false">IF((C5+E5)=0,0,100*C5/(C5+E5))</f>
        <v>91.3</v>
      </c>
      <c r="I5" s="2" t="n">
        <f aca="false">IF((2*C5+D5+E5)=0,0,100*2*C5/(2*C5+D5+E5))</f>
        <v>88.5977680737506</v>
      </c>
      <c r="J5" s="2" t="n">
        <f aca="false">IF((D5+F5)=0,0,100*D5/(D5+F5))</f>
        <v>14.8</v>
      </c>
      <c r="K5" s="2" t="n">
        <f aca="false">IF((E5+C5)=0,0,100*E5/(E5+C5))</f>
        <v>8.7</v>
      </c>
    </row>
    <row r="6" customFormat="false" ht="15" hidden="false" customHeight="false" outlineLevel="0" collapsed="false">
      <c r="A6" s="2" t="s">
        <v>20</v>
      </c>
      <c r="B6" s="2" t="s">
        <v>23</v>
      </c>
      <c r="C6" s="2" t="n">
        <v>907</v>
      </c>
      <c r="D6" s="2" t="n">
        <v>116</v>
      </c>
      <c r="E6" s="2" t="n">
        <v>93</v>
      </c>
      <c r="F6" s="2" t="n">
        <v>884</v>
      </c>
      <c r="G6" s="2" t="n">
        <f aca="false">IF((C6+D6)=0,0,100*C6/(C6+D6))</f>
        <v>88.6608015640274</v>
      </c>
      <c r="H6" s="2" t="n">
        <f aca="false">IF((C6+E6)=0,0,100*C6/(C6+E6))</f>
        <v>90.7</v>
      </c>
      <c r="I6" s="2" t="n">
        <f aca="false">IF((2*C6+D6+E6)=0,0,100*2*C6/(2*C6+D6+E6))</f>
        <v>89.6688086999506</v>
      </c>
      <c r="J6" s="2" t="n">
        <f aca="false">IF((D6+F6)=0,0,100*D6/(D6+F6))</f>
        <v>11.6</v>
      </c>
      <c r="K6" s="2" t="n">
        <f aca="false">IF((E6+C6)=0,0,100*E6/(E6+C6))</f>
        <v>9.3</v>
      </c>
    </row>
    <row r="7" customFormat="false" ht="15" hidden="false" customHeight="false" outlineLevel="0" collapsed="false">
      <c r="A7" s="2" t="s">
        <v>20</v>
      </c>
      <c r="B7" s="2" t="s">
        <v>24</v>
      </c>
      <c r="C7" s="2" t="n">
        <v>904</v>
      </c>
      <c r="D7" s="2" t="n">
        <v>88</v>
      </c>
      <c r="E7" s="2" t="n">
        <v>96</v>
      </c>
      <c r="F7" s="2" t="n">
        <v>912</v>
      </c>
      <c r="G7" s="2" t="n">
        <f aca="false">IF((C7+D7)=0,0,100*C7/(C7+D7))</f>
        <v>91.1290322580645</v>
      </c>
      <c r="H7" s="2" t="n">
        <f aca="false">IF((C7+E7)=0,0,100*C7/(C7+E7))</f>
        <v>90.4</v>
      </c>
      <c r="I7" s="2" t="n">
        <f aca="false">IF((2*C7+D7+E7)=0,0,100*2*C7/(2*C7+D7+E7))</f>
        <v>90.7630522088354</v>
      </c>
      <c r="J7" s="2" t="n">
        <f aca="false">IF((D7+F7)=0,0,100*D7/(D7+F7))</f>
        <v>8.8</v>
      </c>
      <c r="K7" s="2" t="n">
        <f aca="false">IF((E7+C7)=0,0,100*E7/(E7+C7))</f>
        <v>9.6</v>
      </c>
    </row>
    <row r="8" customFormat="false" ht="15" hidden="false" customHeight="false" outlineLevel="0" collapsed="false">
      <c r="A8" s="2" t="s">
        <v>20</v>
      </c>
      <c r="B8" s="2" t="s">
        <v>25</v>
      </c>
      <c r="C8" s="2" t="n">
        <v>925</v>
      </c>
      <c r="D8" s="2" t="n">
        <v>95</v>
      </c>
      <c r="E8" s="2" t="n">
        <v>75</v>
      </c>
      <c r="F8" s="2" t="n">
        <v>905</v>
      </c>
      <c r="G8" s="2" t="n">
        <f aca="false">IF((C8+D8)=0,0,100*C8/(C8+D8))</f>
        <v>90.6862745098039</v>
      </c>
      <c r="H8" s="2" t="n">
        <f aca="false">IF((C8+E8)=0,0,100*C8/(C8+E8))</f>
        <v>92.5</v>
      </c>
      <c r="I8" s="2" t="n">
        <f aca="false">IF((2*C8+D8+E8)=0,0,100*2*C8/(2*C8+D8+E8))</f>
        <v>91.5841584158416</v>
      </c>
      <c r="J8" s="2" t="n">
        <f aca="false">IF((D8+F8)=0,0,100*D8/(D8+F8))</f>
        <v>9.5</v>
      </c>
      <c r="K8" s="2" t="n">
        <f aca="false">IF((E8+C8)=0,0,100*E8/(E8+C8))</f>
        <v>7.5</v>
      </c>
    </row>
    <row r="9" customFormat="false" ht="15" hidden="false" customHeight="false" outlineLevel="0" collapsed="false">
      <c r="A9" s="2" t="s">
        <v>26</v>
      </c>
      <c r="B9" s="2" t="s">
        <v>21</v>
      </c>
      <c r="C9" s="2" t="n">
        <v>892</v>
      </c>
      <c r="D9" s="2" t="n">
        <v>88</v>
      </c>
      <c r="E9" s="2" t="n">
        <v>108</v>
      </c>
      <c r="F9" s="2" t="n">
        <v>912</v>
      </c>
      <c r="G9" s="2" t="n">
        <f aca="false">IF((C9+D9)=0,0,100*C9/(C9+D9))</f>
        <v>91.0204081632653</v>
      </c>
      <c r="H9" s="2" t="n">
        <f aca="false">IF((C9+E9)=0,0,100*C9/(C9+E9))</f>
        <v>89.2</v>
      </c>
      <c r="I9" s="2" t="n">
        <f aca="false">IF((2*C9+D9+E9)=0,0,100*2*C9/(2*C9+D9+E9))</f>
        <v>90.1010101010101</v>
      </c>
      <c r="J9" s="2" t="n">
        <f aca="false">IF((D9+F9)=0,0,100*D9/(D9+F9))</f>
        <v>8.8</v>
      </c>
      <c r="K9" s="2" t="n">
        <f aca="false">IF((E9+C9)=0,0,100*E9/(E9+C9))</f>
        <v>10.8</v>
      </c>
    </row>
    <row r="10" customFormat="false" ht="15" hidden="false" customHeight="false" outlineLevel="0" collapsed="false">
      <c r="A10" s="2" t="s">
        <v>26</v>
      </c>
      <c r="B10" s="2" t="s">
        <v>22</v>
      </c>
      <c r="C10" s="2" t="n">
        <v>916</v>
      </c>
      <c r="D10" s="2" t="n">
        <v>74</v>
      </c>
      <c r="E10" s="2" t="n">
        <v>84</v>
      </c>
      <c r="F10" s="2" t="n">
        <v>926</v>
      </c>
      <c r="G10" s="2" t="n">
        <f aca="false">IF((C10+D10)=0,0,100*C10/(C10+D10))</f>
        <v>92.5252525252525</v>
      </c>
      <c r="H10" s="2" t="n">
        <f aca="false">IF((C10+E10)=0,0,100*C10/(C10+E10))</f>
        <v>91.6</v>
      </c>
      <c r="I10" s="2" t="n">
        <f aca="false">IF((2*C10+D10+E10)=0,0,100*2*C10/(2*C10+D10+E10))</f>
        <v>92.0603015075377</v>
      </c>
      <c r="J10" s="2" t="n">
        <f aca="false">IF((D10+F10)=0,0,100*D10/(D10+F10))</f>
        <v>7.4</v>
      </c>
      <c r="K10" s="2" t="n">
        <f aca="false">IF((E10+C10)=0,0,100*E10/(E10+C10))</f>
        <v>8.4</v>
      </c>
    </row>
    <row r="11" customFormat="false" ht="15" hidden="false" customHeight="false" outlineLevel="0" collapsed="false">
      <c r="A11" s="2" t="s">
        <v>26</v>
      </c>
      <c r="B11" s="2" t="s">
        <v>23</v>
      </c>
      <c r="C11" s="2" t="n">
        <v>873</v>
      </c>
      <c r="D11" s="2" t="n">
        <v>105</v>
      </c>
      <c r="E11" s="2" t="n">
        <v>127</v>
      </c>
      <c r="F11" s="2" t="n">
        <v>895</v>
      </c>
      <c r="G11" s="2" t="n">
        <f aca="false">IF((C11+D11)=0,0,100*C11/(C11+D11))</f>
        <v>89.2638036809816</v>
      </c>
      <c r="H11" s="2" t="n">
        <f aca="false">IF((C11+E11)=0,0,100*C11/(C11+E11))</f>
        <v>87.3</v>
      </c>
      <c r="I11" s="2" t="n">
        <f aca="false">IF((2*C11+D11+E11)=0,0,100*2*C11/(2*C11+D11+E11))</f>
        <v>88.2709807886754</v>
      </c>
      <c r="J11" s="2" t="n">
        <f aca="false">IF((D11+F11)=0,0,100*D11/(D11+F11))</f>
        <v>10.5</v>
      </c>
      <c r="K11" s="2" t="n">
        <f aca="false">IF((E11+C11)=0,0,100*E11/(E11+C11))</f>
        <v>12.7</v>
      </c>
    </row>
    <row r="12" customFormat="false" ht="15" hidden="false" customHeight="false" outlineLevel="0" collapsed="false">
      <c r="A12" s="2" t="s">
        <v>26</v>
      </c>
      <c r="B12" s="2" t="s">
        <v>24</v>
      </c>
      <c r="C12" s="2" t="n">
        <v>911</v>
      </c>
      <c r="D12" s="2" t="n">
        <v>98</v>
      </c>
      <c r="E12" s="2" t="n">
        <v>89</v>
      </c>
      <c r="F12" s="2" t="n">
        <v>902</v>
      </c>
      <c r="G12" s="2" t="n">
        <f aca="false">IF((C12+D12)=0,0,100*C12/(C12+D12))</f>
        <v>90.2874132804757</v>
      </c>
      <c r="H12" s="2" t="n">
        <f aca="false">IF((C12+E12)=0,0,100*C12/(C12+E12))</f>
        <v>91.1</v>
      </c>
      <c r="I12" s="2" t="n">
        <f aca="false">IF((2*C12+D12+E12)=0,0,100*2*C12/(2*C12+D12+E12))</f>
        <v>90.6918865107018</v>
      </c>
      <c r="J12" s="2" t="n">
        <f aca="false">IF((D12+F12)=0,0,100*D12/(D12+F12))</f>
        <v>9.8</v>
      </c>
      <c r="K12" s="2" t="n">
        <f aca="false">IF((E12+C12)=0,0,100*E12/(E12+C12))</f>
        <v>8.9</v>
      </c>
    </row>
    <row r="13" customFormat="false" ht="15" hidden="false" customHeight="false" outlineLevel="0" collapsed="false">
      <c r="A13" s="2" t="s">
        <v>26</v>
      </c>
      <c r="B13" s="2" t="s">
        <v>25</v>
      </c>
      <c r="C13" s="2" t="n">
        <v>902</v>
      </c>
      <c r="D13" s="2" t="n">
        <v>93</v>
      </c>
      <c r="E13" s="2" t="n">
        <v>98</v>
      </c>
      <c r="F13" s="2" t="n">
        <v>907</v>
      </c>
      <c r="G13" s="2" t="n">
        <f aca="false">IF((C13+D13)=0,0,100*C13/(C13+D13))</f>
        <v>90.6532663316583</v>
      </c>
      <c r="H13" s="2" t="n">
        <f aca="false">IF((C13+E13)=0,0,100*C13/(C13+E13))</f>
        <v>90.2</v>
      </c>
      <c r="I13" s="2" t="n">
        <f aca="false">IF((2*C13+D13+E13)=0,0,100*2*C13/(2*C13+D13+E13))</f>
        <v>90.4260651629073</v>
      </c>
      <c r="J13" s="2" t="n">
        <f aca="false">IF((D13+F13)=0,0,100*D13/(D13+F13))</f>
        <v>9.3</v>
      </c>
      <c r="K13" s="2" t="n">
        <f aca="false">IF((E13+C13)=0,0,100*E13/(E13+C13))</f>
        <v>9.8</v>
      </c>
    </row>
    <row r="14" customFormat="false" ht="15" hidden="false" customHeight="false" outlineLevel="0" collapsed="false">
      <c r="A14" s="2" t="s">
        <v>27</v>
      </c>
      <c r="B14" s="2" t="s">
        <v>21</v>
      </c>
      <c r="C14" s="2" t="n">
        <v>903</v>
      </c>
      <c r="D14" s="2" t="n">
        <v>97</v>
      </c>
      <c r="E14" s="2" t="n">
        <v>97</v>
      </c>
      <c r="F14" s="2" t="n">
        <v>903</v>
      </c>
      <c r="G14" s="2" t="n">
        <f aca="false">IF((C14+D14)=0,0,100*C14/(C14+D14))</f>
        <v>90.3</v>
      </c>
      <c r="H14" s="2" t="n">
        <f aca="false">IF((C14+E14)=0,0,100*C14/(C14+E14))</f>
        <v>90.3</v>
      </c>
      <c r="I14" s="2" t="n">
        <f aca="false">IF((2*C14+D14+E14)=0,0,100*2*C14/(2*C14+D14+E14))</f>
        <v>90.3</v>
      </c>
      <c r="J14" s="2" t="n">
        <f aca="false">IF((D14+F14)=0,0,100*D14/(D14+F14))</f>
        <v>9.7</v>
      </c>
      <c r="K14" s="2" t="n">
        <f aca="false">IF((E14+C14)=0,0,100*E14/(E14+C14))</f>
        <v>9.7</v>
      </c>
    </row>
    <row r="15" customFormat="false" ht="15" hidden="false" customHeight="false" outlineLevel="0" collapsed="false">
      <c r="A15" s="2" t="s">
        <v>27</v>
      </c>
      <c r="B15" s="2" t="s">
        <v>22</v>
      </c>
      <c r="C15" s="2" t="n">
        <v>912</v>
      </c>
      <c r="D15" s="2" t="n">
        <v>111</v>
      </c>
      <c r="E15" s="2" t="n">
        <v>88</v>
      </c>
      <c r="F15" s="2" t="n">
        <v>889</v>
      </c>
      <c r="G15" s="2" t="n">
        <f aca="false">IF((C15+D15)=0,0,100*C15/(C15+D15))</f>
        <v>89.1495601173021</v>
      </c>
      <c r="H15" s="2" t="n">
        <f aca="false">IF((C15+E15)=0,0,100*C15/(C15+E15))</f>
        <v>91.2</v>
      </c>
      <c r="I15" s="2" t="n">
        <f aca="false">IF((2*C15+D15+E15)=0,0,100*2*C15/(2*C15+D15+E15))</f>
        <v>90.1631240731587</v>
      </c>
      <c r="J15" s="2" t="n">
        <f aca="false">IF((D15+F15)=0,0,100*D15/(D15+F15))</f>
        <v>11.1</v>
      </c>
      <c r="K15" s="2" t="n">
        <f aca="false">IF((E15+C15)=0,0,100*E15/(E15+C15))</f>
        <v>8.8</v>
      </c>
    </row>
    <row r="16" customFormat="false" ht="15" hidden="false" customHeight="false" outlineLevel="0" collapsed="false">
      <c r="A16" s="2" t="s">
        <v>27</v>
      </c>
      <c r="B16" s="2" t="s">
        <v>23</v>
      </c>
      <c r="C16" s="2" t="n">
        <v>900</v>
      </c>
      <c r="D16" s="2" t="n">
        <v>140</v>
      </c>
      <c r="E16" s="2" t="n">
        <v>100</v>
      </c>
      <c r="F16" s="2" t="n">
        <v>860</v>
      </c>
      <c r="G16" s="2" t="n">
        <f aca="false">IF((C16+D16)=0,0,100*C16/(C16+D16))</f>
        <v>86.5384615384615</v>
      </c>
      <c r="H16" s="2" t="n">
        <f aca="false">IF((C16+E16)=0,0,100*C16/(C16+E16))</f>
        <v>90</v>
      </c>
      <c r="I16" s="2" t="n">
        <f aca="false">IF((2*C16+D16+E16)=0,0,100*2*C16/(2*C16+D16+E16))</f>
        <v>88.2352941176471</v>
      </c>
      <c r="J16" s="2" t="n">
        <f aca="false">IF((D16+F16)=0,0,100*D16/(D16+F16))</f>
        <v>14</v>
      </c>
      <c r="K16" s="2" t="n">
        <f aca="false">IF((E16+C16)=0,0,100*E16/(E16+C16))</f>
        <v>10</v>
      </c>
    </row>
    <row r="17" customFormat="false" ht="15" hidden="false" customHeight="false" outlineLevel="0" collapsed="false">
      <c r="A17" s="2" t="s">
        <v>27</v>
      </c>
      <c r="B17" s="2" t="s">
        <v>24</v>
      </c>
      <c r="C17" s="2" t="n">
        <v>914</v>
      </c>
      <c r="D17" s="2" t="n">
        <v>99</v>
      </c>
      <c r="E17" s="2" t="n">
        <v>86</v>
      </c>
      <c r="F17" s="2" t="n">
        <v>901</v>
      </c>
      <c r="G17" s="2" t="n">
        <f aca="false">IF((C17+D17)=0,0,100*C17/(C17+D17))</f>
        <v>90.2270483711747</v>
      </c>
      <c r="H17" s="2" t="n">
        <f aca="false">IF((C17+E17)=0,0,100*C17/(C17+E17))</f>
        <v>91.4</v>
      </c>
      <c r="I17" s="2" t="n">
        <f aca="false">IF((2*C17+D17+E17)=0,0,100*2*C17/(2*C17+D17+E17))</f>
        <v>90.8097367113761</v>
      </c>
      <c r="J17" s="2" t="n">
        <f aca="false">IF((D17+F17)=0,0,100*D17/(D17+F17))</f>
        <v>9.9</v>
      </c>
      <c r="K17" s="2" t="n">
        <f aca="false">IF((E17+C17)=0,0,100*E17/(E17+C17))</f>
        <v>8.6</v>
      </c>
    </row>
    <row r="18" customFormat="false" ht="15" hidden="false" customHeight="false" outlineLevel="0" collapsed="false">
      <c r="A18" s="2" t="s">
        <v>27</v>
      </c>
      <c r="B18" s="2" t="s">
        <v>25</v>
      </c>
      <c r="C18" s="2" t="n">
        <v>940</v>
      </c>
      <c r="D18" s="2" t="n">
        <v>89</v>
      </c>
      <c r="E18" s="2" t="n">
        <v>60</v>
      </c>
      <c r="F18" s="2" t="n">
        <v>911</v>
      </c>
      <c r="G18" s="2" t="n">
        <f aca="false">IF((C18+D18)=0,0,100*C18/(C18+D18))</f>
        <v>91.3508260447036</v>
      </c>
      <c r="H18" s="2" t="n">
        <f aca="false">IF((C18+E18)=0,0,100*C18/(C18+E18))</f>
        <v>94</v>
      </c>
      <c r="I18" s="2" t="n">
        <f aca="false">IF((2*C18+D18+E18)=0,0,100*2*C18/(2*C18+D18+E18))</f>
        <v>92.6564810251355</v>
      </c>
      <c r="J18" s="2" t="n">
        <f aca="false">IF((D18+F18)=0,0,100*D18/(D18+F18))</f>
        <v>8.9</v>
      </c>
      <c r="K18" s="2" t="n">
        <f aca="false">IF((E18+C18)=0,0,100*E18/(E18+C18))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5" hidden="false" customHeight="false" outlineLevel="0" collapsed="false">
      <c r="A1" s="1" t="s">
        <v>28</v>
      </c>
    </row>
    <row r="3" customFormat="false" ht="15" hidden="false" customHeight="false" outlineLevel="0" collapsed="false">
      <c r="A3" s="4" t="s">
        <v>9</v>
      </c>
      <c r="B3" s="4" t="s">
        <v>29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</row>
    <row r="4" customFormat="false" ht="15" hidden="false" customHeight="false" outlineLevel="0" collapsed="false">
      <c r="A4" s="2" t="s">
        <v>20</v>
      </c>
      <c r="B4" s="2" t="s">
        <v>30</v>
      </c>
      <c r="C4" s="2" t="n">
        <v>869</v>
      </c>
      <c r="D4" s="2" t="n">
        <v>132</v>
      </c>
      <c r="E4" s="2" t="n">
        <v>131</v>
      </c>
      <c r="F4" s="2" t="n">
        <v>868</v>
      </c>
      <c r="G4" s="2" t="n">
        <f aca="false">IF((C4+D4)=0,0,100*C4/(C4+D4))</f>
        <v>86.8131868131868</v>
      </c>
      <c r="H4" s="2" t="n">
        <f aca="false">IF((C4+E4)=0,0,100*C4/(C4+E4))</f>
        <v>86.9</v>
      </c>
      <c r="I4" s="2" t="n">
        <f aca="false">IF((2*C4+D4+E4)=0,0,100*2*C4/(2*C4+D4+E4))</f>
        <v>86.8565717141429</v>
      </c>
      <c r="J4" s="2" t="n">
        <f aca="false">IF((D4+F4)=0,0,100*D4/(D4+F4))</f>
        <v>13.2</v>
      </c>
      <c r="K4" s="2" t="n">
        <f aca="false">IF((E4+C4)=0,0,100*E4/(E4+C4))</f>
        <v>13.1</v>
      </c>
    </row>
    <row r="5" customFormat="false" ht="15" hidden="false" customHeight="false" outlineLevel="0" collapsed="false">
      <c r="A5" s="2" t="s">
        <v>20</v>
      </c>
      <c r="B5" s="2" t="s">
        <v>31</v>
      </c>
      <c r="C5" s="2" t="n">
        <v>851</v>
      </c>
      <c r="D5" s="2" t="n">
        <v>104</v>
      </c>
      <c r="E5" s="2" t="n">
        <v>149</v>
      </c>
      <c r="F5" s="2" t="n">
        <v>896</v>
      </c>
      <c r="G5" s="2" t="n">
        <f aca="false">IF((C5+D5)=0,0,100*C5/(C5+D5))</f>
        <v>89.1099476439791</v>
      </c>
      <c r="H5" s="2" t="n">
        <f aca="false">IF((C5+E5)=0,0,100*C5/(C5+E5))</f>
        <v>85.1</v>
      </c>
      <c r="I5" s="2" t="n">
        <f aca="false">IF((2*C5+D5+E5)=0,0,100*2*C5/(2*C5+D5+E5))</f>
        <v>87.0588235294118</v>
      </c>
      <c r="J5" s="2" t="n">
        <f aca="false">IF((D5+F5)=0,0,100*D5/(D5+F5))</f>
        <v>10.4</v>
      </c>
      <c r="K5" s="2" t="n">
        <f aca="false">IF((E5+C5)=0,0,100*E5/(E5+C5))</f>
        <v>14.9</v>
      </c>
    </row>
    <row r="6" customFormat="false" ht="15" hidden="false" customHeight="false" outlineLevel="0" collapsed="false">
      <c r="A6" s="2" t="s">
        <v>20</v>
      </c>
      <c r="B6" s="2" t="s">
        <v>32</v>
      </c>
      <c r="C6" s="2" t="n">
        <v>901</v>
      </c>
      <c r="D6" s="2" t="n">
        <v>127</v>
      </c>
      <c r="E6" s="2" t="n">
        <v>99</v>
      </c>
      <c r="F6" s="2" t="n">
        <v>873</v>
      </c>
      <c r="G6" s="2" t="n">
        <f aca="false">IF((C6+D6)=0,0,100*C6/(C6+D6))</f>
        <v>87.6459143968872</v>
      </c>
      <c r="H6" s="2" t="n">
        <f aca="false">IF((C6+E6)=0,0,100*C6/(C6+E6))</f>
        <v>90.1</v>
      </c>
      <c r="I6" s="2" t="n">
        <f aca="false">IF((2*C6+D6+E6)=0,0,100*2*C6/(2*C6+D6+E6))</f>
        <v>88.8560157790927</v>
      </c>
      <c r="J6" s="2" t="n">
        <f aca="false">IF((D6+F6)=0,0,100*D6/(D6+F6))</f>
        <v>12.7</v>
      </c>
      <c r="K6" s="2" t="n">
        <f aca="false">IF((E6+C6)=0,0,100*E6/(E6+C6))</f>
        <v>9.9</v>
      </c>
    </row>
    <row r="7" customFormat="false" ht="15" hidden="false" customHeight="false" outlineLevel="0" collapsed="false">
      <c r="A7" s="2" t="s">
        <v>20</v>
      </c>
      <c r="B7" s="2" t="s">
        <v>33</v>
      </c>
      <c r="C7" s="2" t="n">
        <v>868</v>
      </c>
      <c r="D7" s="2" t="n">
        <v>131</v>
      </c>
      <c r="E7" s="2" t="n">
        <v>132</v>
      </c>
      <c r="F7" s="2" t="n">
        <v>869</v>
      </c>
      <c r="G7" s="2" t="n">
        <f aca="false">IF((C7+D7)=0,0,100*C7/(C7+D7))</f>
        <v>86.8868868868869</v>
      </c>
      <c r="H7" s="2" t="n">
        <f aca="false">IF((C7+E7)=0,0,100*C7/(C7+E7))</f>
        <v>86.8</v>
      </c>
      <c r="I7" s="2" t="n">
        <f aca="false">IF((2*C7+D7+E7)=0,0,100*2*C7/(2*C7+D7+E7))</f>
        <v>86.8434217108554</v>
      </c>
      <c r="J7" s="2" t="n">
        <f aca="false">IF((D7+F7)=0,0,100*D7/(D7+F7))</f>
        <v>13.1</v>
      </c>
      <c r="K7" s="2" t="n">
        <f aca="false">IF((E7+C7)=0,0,100*E7/(E7+C7))</f>
        <v>13.2</v>
      </c>
    </row>
    <row r="8" customFormat="false" ht="15" hidden="false" customHeight="false" outlineLevel="0" collapsed="false">
      <c r="A8" s="2" t="s">
        <v>20</v>
      </c>
      <c r="B8" s="2" t="s">
        <v>34</v>
      </c>
      <c r="C8" s="2" t="n">
        <v>855</v>
      </c>
      <c r="D8" s="2" t="n">
        <v>169</v>
      </c>
      <c r="E8" s="2" t="n">
        <v>145</v>
      </c>
      <c r="F8" s="2" t="n">
        <v>831</v>
      </c>
      <c r="G8" s="2" t="n">
        <f aca="false">IF((C8+D8)=0,0,100*C8/(C8+D8))</f>
        <v>83.49609375</v>
      </c>
      <c r="H8" s="2" t="n">
        <f aca="false">IF((C8+E8)=0,0,100*C8/(C8+E8))</f>
        <v>85.5</v>
      </c>
      <c r="I8" s="2" t="n">
        <f aca="false">IF((2*C8+D8+E8)=0,0,100*2*C8/(2*C8+D8+E8))</f>
        <v>84.4861660079051</v>
      </c>
      <c r="J8" s="2" t="n">
        <f aca="false">IF((D8+F8)=0,0,100*D8/(D8+F8))</f>
        <v>16.9</v>
      </c>
      <c r="K8" s="2" t="n">
        <f aca="false">IF((E8+C8)=0,0,100*E8/(E8+C8))</f>
        <v>14.5</v>
      </c>
    </row>
    <row r="9" customFormat="false" ht="15" hidden="false" customHeight="false" outlineLevel="0" collapsed="false">
      <c r="A9" s="2" t="s">
        <v>20</v>
      </c>
      <c r="B9" s="2" t="s">
        <v>35</v>
      </c>
      <c r="C9" s="2" t="n">
        <v>867</v>
      </c>
      <c r="D9" s="2" t="n">
        <v>178</v>
      </c>
      <c r="E9" s="2" t="n">
        <v>133</v>
      </c>
      <c r="F9" s="2" t="n">
        <v>822</v>
      </c>
      <c r="G9" s="2" t="n">
        <f aca="false">IF((C9+D9)=0,0,100*C9/(C9+D9))</f>
        <v>82.9665071770335</v>
      </c>
      <c r="H9" s="2" t="n">
        <f aca="false">IF((C9+E9)=0,0,100*C9/(C9+E9))</f>
        <v>86.7</v>
      </c>
      <c r="I9" s="2" t="n">
        <f aca="false">IF((2*C9+D9+E9)=0,0,100*2*C9/(2*C9+D9+E9))</f>
        <v>84.7921760391198</v>
      </c>
      <c r="J9" s="2" t="n">
        <f aca="false">IF((D9+F9)=0,0,100*D9/(D9+F9))</f>
        <v>17.8</v>
      </c>
      <c r="K9" s="2" t="n">
        <f aca="false">IF((E9+C9)=0,0,100*E9/(E9+C9))</f>
        <v>13.3</v>
      </c>
    </row>
    <row r="10" customFormat="false" ht="15" hidden="false" customHeight="false" outlineLevel="0" collapsed="false">
      <c r="A10" s="2" t="s">
        <v>26</v>
      </c>
      <c r="B10" s="2" t="s">
        <v>30</v>
      </c>
      <c r="C10" s="2" t="n">
        <v>857</v>
      </c>
      <c r="D10" s="2" t="n">
        <v>196</v>
      </c>
      <c r="E10" s="2" t="n">
        <v>143</v>
      </c>
      <c r="F10" s="2" t="n">
        <v>804</v>
      </c>
      <c r="G10" s="2" t="n">
        <f aca="false">IF((C10+D10)=0,0,100*C10/(C10+D10))</f>
        <v>81.3865147198481</v>
      </c>
      <c r="H10" s="2" t="n">
        <f aca="false">IF((C10+E10)=0,0,100*C10/(C10+E10))</f>
        <v>85.7</v>
      </c>
      <c r="I10" s="2" t="n">
        <f aca="false">IF((2*C10+D10+E10)=0,0,100*2*C10/(2*C10+D10+E10))</f>
        <v>83.4875791524598</v>
      </c>
      <c r="J10" s="2" t="n">
        <f aca="false">IF((D10+F10)=0,0,100*D10/(D10+F10))</f>
        <v>19.6</v>
      </c>
      <c r="K10" s="2" t="n">
        <f aca="false">IF((E10+C10)=0,0,100*E10/(E10+C10))</f>
        <v>14.3</v>
      </c>
    </row>
    <row r="11" customFormat="false" ht="15" hidden="false" customHeight="false" outlineLevel="0" collapsed="false">
      <c r="A11" s="2" t="s">
        <v>26</v>
      </c>
      <c r="B11" s="2" t="s">
        <v>31</v>
      </c>
      <c r="C11" s="2" t="n">
        <v>894</v>
      </c>
      <c r="D11" s="2" t="n">
        <v>182</v>
      </c>
      <c r="E11" s="2" t="n">
        <v>106</v>
      </c>
      <c r="F11" s="2" t="n">
        <v>818</v>
      </c>
      <c r="G11" s="2" t="n">
        <f aca="false">IF((C11+D11)=0,0,100*C11/(C11+D11))</f>
        <v>83.0855018587361</v>
      </c>
      <c r="H11" s="2" t="n">
        <f aca="false">IF((C11+E11)=0,0,100*C11/(C11+E11))</f>
        <v>89.4</v>
      </c>
      <c r="I11" s="2" t="n">
        <f aca="false">IF((2*C11+D11+E11)=0,0,100*2*C11/(2*C11+D11+E11))</f>
        <v>86.1271676300578</v>
      </c>
      <c r="J11" s="2" t="n">
        <f aca="false">IF((D11+F11)=0,0,100*D11/(D11+F11))</f>
        <v>18.2</v>
      </c>
      <c r="K11" s="2" t="n">
        <f aca="false">IF((E11+C11)=0,0,100*E11/(E11+C11))</f>
        <v>10.6</v>
      </c>
    </row>
    <row r="12" customFormat="false" ht="15" hidden="false" customHeight="false" outlineLevel="0" collapsed="false">
      <c r="A12" s="2" t="s">
        <v>26</v>
      </c>
      <c r="B12" s="2" t="s">
        <v>32</v>
      </c>
      <c r="C12" s="2" t="n">
        <v>835</v>
      </c>
      <c r="D12" s="2" t="n">
        <v>178</v>
      </c>
      <c r="E12" s="2" t="n">
        <v>165</v>
      </c>
      <c r="F12" s="2" t="n">
        <v>822</v>
      </c>
      <c r="G12" s="2" t="n">
        <f aca="false">IF((C12+D12)=0,0,100*C12/(C12+D12))</f>
        <v>82.4284304047384</v>
      </c>
      <c r="H12" s="2" t="n">
        <f aca="false">IF((C12+E12)=0,0,100*C12/(C12+E12))</f>
        <v>83.5</v>
      </c>
      <c r="I12" s="2" t="n">
        <f aca="false">IF((2*C12+D12+E12)=0,0,100*2*C12/(2*C12+D12+E12))</f>
        <v>82.9607550919026</v>
      </c>
      <c r="J12" s="2" t="n">
        <f aca="false">IF((D12+F12)=0,0,100*D12/(D12+F12))</f>
        <v>17.8</v>
      </c>
      <c r="K12" s="2" t="n">
        <f aca="false">IF((E12+C12)=0,0,100*E12/(E12+C12))</f>
        <v>16.5</v>
      </c>
    </row>
    <row r="13" customFormat="false" ht="15" hidden="false" customHeight="false" outlineLevel="0" collapsed="false">
      <c r="A13" s="2" t="s">
        <v>26</v>
      </c>
      <c r="B13" s="2" t="s">
        <v>33</v>
      </c>
      <c r="C13" s="2" t="n">
        <v>875</v>
      </c>
      <c r="D13" s="2" t="n">
        <v>179</v>
      </c>
      <c r="E13" s="2" t="n">
        <v>125</v>
      </c>
      <c r="F13" s="2" t="n">
        <v>821</v>
      </c>
      <c r="G13" s="2" t="n">
        <f aca="false">IF((C13+D13)=0,0,100*C13/(C13+D13))</f>
        <v>83.0170777988615</v>
      </c>
      <c r="H13" s="2" t="n">
        <f aca="false">IF((C13+E13)=0,0,100*C13/(C13+E13))</f>
        <v>87.5</v>
      </c>
      <c r="I13" s="2" t="n">
        <f aca="false">IF((2*C13+D13+E13)=0,0,100*2*C13/(2*C13+D13+E13))</f>
        <v>85.1996105160662</v>
      </c>
      <c r="J13" s="2" t="n">
        <f aca="false">IF((D13+F13)=0,0,100*D13/(D13+F13))</f>
        <v>17.9</v>
      </c>
      <c r="K13" s="2" t="n">
        <f aca="false">IF((E13+C13)=0,0,100*E13/(E13+C13))</f>
        <v>12.5</v>
      </c>
    </row>
    <row r="14" customFormat="false" ht="15" hidden="false" customHeight="false" outlineLevel="0" collapsed="false">
      <c r="A14" s="2" t="s">
        <v>26</v>
      </c>
      <c r="B14" s="2" t="s">
        <v>34</v>
      </c>
      <c r="C14" s="2" t="n">
        <v>891</v>
      </c>
      <c r="D14" s="2" t="n">
        <v>213</v>
      </c>
      <c r="E14" s="2" t="n">
        <v>109</v>
      </c>
      <c r="F14" s="2" t="n">
        <v>787</v>
      </c>
      <c r="G14" s="2" t="n">
        <f aca="false">IF((C14+D14)=0,0,100*C14/(C14+D14))</f>
        <v>80.7065217391304</v>
      </c>
      <c r="H14" s="2" t="n">
        <f aca="false">IF((C14+E14)=0,0,100*C14/(C14+E14))</f>
        <v>89.1</v>
      </c>
      <c r="I14" s="2" t="n">
        <f aca="false">IF((2*C14+D14+E14)=0,0,100*2*C14/(2*C14+D14+E14))</f>
        <v>84.6958174904943</v>
      </c>
      <c r="J14" s="2" t="n">
        <f aca="false">IF((D14+F14)=0,0,100*D14/(D14+F14))</f>
        <v>21.3</v>
      </c>
      <c r="K14" s="2" t="n">
        <f aca="false">IF((E14+C14)=0,0,100*E14/(E14+C14))</f>
        <v>10.9</v>
      </c>
    </row>
    <row r="15" customFormat="false" ht="15" hidden="false" customHeight="false" outlineLevel="0" collapsed="false">
      <c r="A15" s="2" t="s">
        <v>26</v>
      </c>
      <c r="B15" s="2" t="s">
        <v>35</v>
      </c>
      <c r="C15" s="2" t="n">
        <v>841</v>
      </c>
      <c r="D15" s="2" t="n">
        <v>183</v>
      </c>
      <c r="E15" s="2" t="n">
        <v>159</v>
      </c>
      <c r="F15" s="2" t="n">
        <v>817</v>
      </c>
      <c r="G15" s="2" t="n">
        <f aca="false">IF((C15+D15)=0,0,100*C15/(C15+D15))</f>
        <v>82.12890625</v>
      </c>
      <c r="H15" s="2" t="n">
        <f aca="false">IF((C15+E15)=0,0,100*C15/(C15+E15))</f>
        <v>84.1</v>
      </c>
      <c r="I15" s="2" t="n">
        <f aca="false">IF((2*C15+D15+E15)=0,0,100*2*C15/(2*C15+D15+E15))</f>
        <v>83.102766798419</v>
      </c>
      <c r="J15" s="2" t="n">
        <f aca="false">IF((D15+F15)=0,0,100*D15/(D15+F15))</f>
        <v>18.3</v>
      </c>
      <c r="K15" s="2" t="n">
        <f aca="false">IF((E15+C15)=0,0,100*E15/(E15+C15))</f>
        <v>15.9</v>
      </c>
    </row>
    <row r="16" customFormat="false" ht="15" hidden="false" customHeight="false" outlineLevel="0" collapsed="false">
      <c r="A16" s="2" t="s">
        <v>27</v>
      </c>
      <c r="B16" s="2" t="s">
        <v>30</v>
      </c>
      <c r="C16" s="2" t="n">
        <v>859</v>
      </c>
      <c r="D16" s="2" t="n">
        <v>185</v>
      </c>
      <c r="E16" s="2" t="n">
        <v>141</v>
      </c>
      <c r="F16" s="2" t="n">
        <v>815</v>
      </c>
      <c r="G16" s="2" t="n">
        <f aca="false">IF((C16+D16)=0,0,100*C16/(C16+D16))</f>
        <v>82.27969348659</v>
      </c>
      <c r="H16" s="2" t="n">
        <f aca="false">IF((C16+E16)=0,0,100*C16/(C16+E16))</f>
        <v>85.9</v>
      </c>
      <c r="I16" s="2" t="n">
        <f aca="false">IF((2*C16+D16+E16)=0,0,100*2*C16/(2*C16+D16+E16))</f>
        <v>84.0508806262231</v>
      </c>
      <c r="J16" s="2" t="n">
        <f aca="false">IF((D16+F16)=0,0,100*D16/(D16+F16))</f>
        <v>18.5</v>
      </c>
      <c r="K16" s="2" t="n">
        <f aca="false">IF((E16+C16)=0,0,100*E16/(E16+C16))</f>
        <v>14.1</v>
      </c>
    </row>
    <row r="17" customFormat="false" ht="15" hidden="false" customHeight="false" outlineLevel="0" collapsed="false">
      <c r="A17" s="2" t="s">
        <v>27</v>
      </c>
      <c r="B17" s="2" t="s">
        <v>31</v>
      </c>
      <c r="C17" s="2" t="n">
        <v>878</v>
      </c>
      <c r="D17" s="2" t="n">
        <v>103</v>
      </c>
      <c r="E17" s="2" t="n">
        <v>122</v>
      </c>
      <c r="F17" s="2" t="n">
        <v>897</v>
      </c>
      <c r="G17" s="2" t="n">
        <f aca="false">IF((C17+D17)=0,0,100*C17/(C17+D17))</f>
        <v>89.5005096839959</v>
      </c>
      <c r="H17" s="2" t="n">
        <f aca="false">IF((C17+E17)=0,0,100*C17/(C17+E17))</f>
        <v>87.8</v>
      </c>
      <c r="I17" s="2" t="n">
        <f aca="false">IF((2*C17+D17+E17)=0,0,100*2*C17/(2*C17+D17+E17))</f>
        <v>88.6420999495204</v>
      </c>
      <c r="J17" s="2" t="n">
        <f aca="false">IF((D17+F17)=0,0,100*D17/(D17+F17))</f>
        <v>10.3</v>
      </c>
      <c r="K17" s="2" t="n">
        <f aca="false">IF((E17+C17)=0,0,100*E17/(E17+C17))</f>
        <v>12.2</v>
      </c>
    </row>
    <row r="18" customFormat="false" ht="15" hidden="false" customHeight="false" outlineLevel="0" collapsed="false">
      <c r="A18" s="2" t="s">
        <v>27</v>
      </c>
      <c r="B18" s="2" t="s">
        <v>32</v>
      </c>
      <c r="C18" s="2" t="n">
        <v>877</v>
      </c>
      <c r="D18" s="2" t="n">
        <v>170</v>
      </c>
      <c r="E18" s="2" t="n">
        <v>123</v>
      </c>
      <c r="F18" s="2" t="n">
        <v>830</v>
      </c>
      <c r="G18" s="2" t="n">
        <f aca="false">IF((C18+D18)=0,0,100*C18/(C18+D18))</f>
        <v>83.7631327602674</v>
      </c>
      <c r="H18" s="2" t="n">
        <f aca="false">IF((C18+E18)=0,0,100*C18/(C18+E18))</f>
        <v>87.7</v>
      </c>
      <c r="I18" s="2" t="n">
        <f aca="false">IF((2*C18+D18+E18)=0,0,100*2*C18/(2*C18+D18+E18))</f>
        <v>85.6863702979971</v>
      </c>
      <c r="J18" s="2" t="n">
        <f aca="false">IF((D18+F18)=0,0,100*D18/(D18+F18))</f>
        <v>17</v>
      </c>
      <c r="K18" s="2" t="n">
        <f aca="false">IF((E18+C18)=0,0,100*E18/(E18+C18))</f>
        <v>12.3</v>
      </c>
    </row>
    <row r="19" customFormat="false" ht="15" hidden="false" customHeight="false" outlineLevel="0" collapsed="false">
      <c r="A19" s="2" t="s">
        <v>27</v>
      </c>
      <c r="B19" s="2" t="s">
        <v>33</v>
      </c>
      <c r="C19" s="2" t="n">
        <v>866</v>
      </c>
      <c r="D19" s="2" t="n">
        <v>163</v>
      </c>
      <c r="E19" s="2" t="n">
        <v>134</v>
      </c>
      <c r="F19" s="2" t="n">
        <v>837</v>
      </c>
      <c r="G19" s="2" t="n">
        <f aca="false">IF((C19+D19)=0,0,100*C19/(C19+D19))</f>
        <v>84.1593780369291</v>
      </c>
      <c r="H19" s="2" t="n">
        <f aca="false">IF((C19+E19)=0,0,100*C19/(C19+E19))</f>
        <v>86.6</v>
      </c>
      <c r="I19" s="2" t="n">
        <f aca="false">IF((2*C19+D19+E19)=0,0,100*2*C19/(2*C19+D19+E19))</f>
        <v>85.3622474125185</v>
      </c>
      <c r="J19" s="2" t="n">
        <f aca="false">IF((D19+F19)=0,0,100*D19/(D19+F19))</f>
        <v>16.3</v>
      </c>
      <c r="K19" s="2" t="n">
        <f aca="false">IF((E19+C19)=0,0,100*E19/(E19+C19))</f>
        <v>13.4</v>
      </c>
    </row>
    <row r="20" customFormat="false" ht="15" hidden="false" customHeight="false" outlineLevel="0" collapsed="false">
      <c r="A20" s="2" t="s">
        <v>27</v>
      </c>
      <c r="B20" s="2" t="s">
        <v>34</v>
      </c>
      <c r="C20" s="2" t="n">
        <v>902</v>
      </c>
      <c r="D20" s="2" t="n">
        <v>149</v>
      </c>
      <c r="E20" s="2" t="n">
        <v>98</v>
      </c>
      <c r="F20" s="2" t="n">
        <v>851</v>
      </c>
      <c r="G20" s="2" t="n">
        <f aca="false">IF((C20+D20)=0,0,100*C20/(C20+D20))</f>
        <v>85.8230256898192</v>
      </c>
      <c r="H20" s="2" t="n">
        <f aca="false">IF((C20+E20)=0,0,100*C20/(C20+E20))</f>
        <v>90.2</v>
      </c>
      <c r="I20" s="2" t="n">
        <f aca="false">IF((2*C20+D20+E20)=0,0,100*2*C20/(2*C20+D20+E20))</f>
        <v>87.9570941004388</v>
      </c>
      <c r="J20" s="2" t="n">
        <f aca="false">IF((D20+F20)=0,0,100*D20/(D20+F20))</f>
        <v>14.9</v>
      </c>
      <c r="K20" s="2" t="n">
        <f aca="false">IF((E20+C20)=0,0,100*E20/(E20+C20))</f>
        <v>9.8</v>
      </c>
    </row>
    <row r="21" customFormat="false" ht="15" hidden="false" customHeight="false" outlineLevel="0" collapsed="false">
      <c r="A21" s="2" t="s">
        <v>27</v>
      </c>
      <c r="B21" s="2" t="s">
        <v>35</v>
      </c>
      <c r="C21" s="2" t="n">
        <v>901</v>
      </c>
      <c r="D21" s="2" t="n">
        <v>194</v>
      </c>
      <c r="E21" s="2" t="n">
        <v>99</v>
      </c>
      <c r="F21" s="2" t="n">
        <v>806</v>
      </c>
      <c r="G21" s="2" t="n">
        <f aca="false">IF((C21+D21)=0,0,100*C21/(C21+D21))</f>
        <v>82.2831050228311</v>
      </c>
      <c r="H21" s="2" t="n">
        <f aca="false">IF((C21+E21)=0,0,100*C21/(C21+E21))</f>
        <v>90.1</v>
      </c>
      <c r="I21" s="2" t="n">
        <f aca="false">IF((2*C21+D21+E21)=0,0,100*2*C21/(2*C21+D21+E21))</f>
        <v>86.0143198090692</v>
      </c>
      <c r="J21" s="2" t="n">
        <f aca="false">IF((D21+F21)=0,0,100*D21/(D21+F21))</f>
        <v>19.4</v>
      </c>
      <c r="K21" s="2" t="n">
        <f aca="false">IF((E21+C21)=0,0,100*E21/(E21+C21))</f>
        <v>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15" hidden="false" customHeight="false" outlineLevel="0" collapsed="false">
      <c r="A1" s="1" t="s">
        <v>36</v>
      </c>
    </row>
    <row r="3" customFormat="false" ht="15" hidden="false" customHeight="false" outlineLevel="0" collapsed="false">
      <c r="A3" s="4" t="s">
        <v>10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</row>
    <row r="4" customFormat="false" ht="15" hidden="false" customHeight="false" outlineLevel="0" collapsed="false">
      <c r="A4" s="2" t="s">
        <v>24</v>
      </c>
      <c r="B4" s="2" t="s">
        <v>43</v>
      </c>
      <c r="C4" s="2" t="n">
        <v>174.2</v>
      </c>
      <c r="D4" s="2" t="n">
        <v>82.5</v>
      </c>
      <c r="E4" s="2" t="n">
        <v>37.1</v>
      </c>
      <c r="F4" s="2" t="n">
        <v>2.3</v>
      </c>
      <c r="G4" s="2" t="n">
        <v>330</v>
      </c>
    </row>
    <row r="5" customFormat="false" ht="15" hidden="false" customHeight="false" outlineLevel="0" collapsed="false">
      <c r="A5" s="2" t="s">
        <v>25</v>
      </c>
      <c r="B5" s="2" t="s">
        <v>43</v>
      </c>
      <c r="C5" s="2" t="n">
        <v>86.2</v>
      </c>
      <c r="D5" s="2" t="n">
        <v>124.4</v>
      </c>
      <c r="E5" s="2" t="n">
        <v>20.2</v>
      </c>
      <c r="F5" s="2" t="n">
        <v>4.7</v>
      </c>
      <c r="G5" s="2" t="n">
        <v>138</v>
      </c>
    </row>
    <row r="6" customFormat="false" ht="15" hidden="false" customHeight="false" outlineLevel="0" collapsed="false">
      <c r="A6" s="2" t="s">
        <v>21</v>
      </c>
      <c r="B6" s="2" t="s">
        <v>43</v>
      </c>
      <c r="C6" s="2" t="n">
        <v>168.6</v>
      </c>
      <c r="D6" s="2" t="n">
        <v>72.1</v>
      </c>
      <c r="E6" s="2" t="n">
        <v>15.3</v>
      </c>
      <c r="F6" s="2" t="n">
        <v>4.5</v>
      </c>
      <c r="G6" s="2" t="n">
        <v>257.4</v>
      </c>
    </row>
    <row r="7" customFormat="false" ht="15" hidden="false" customHeight="false" outlineLevel="0" collapsed="false">
      <c r="A7" s="2" t="s">
        <v>23</v>
      </c>
      <c r="B7" s="2" t="s">
        <v>43</v>
      </c>
      <c r="C7" s="2" t="n">
        <v>14.4</v>
      </c>
      <c r="D7" s="2" t="n">
        <v>230.1</v>
      </c>
      <c r="E7" s="2" t="n">
        <v>63.2</v>
      </c>
      <c r="F7" s="2" t="n">
        <v>1</v>
      </c>
      <c r="G7" s="2" t="n">
        <v>225.3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n">
        <v>185.7</v>
      </c>
      <c r="D8" s="2" t="n">
        <v>216.1</v>
      </c>
      <c r="E8" s="2" t="n">
        <v>18.3</v>
      </c>
      <c r="F8" s="2" t="n">
        <v>4.4</v>
      </c>
      <c r="G8" s="2" t="n">
        <v>179.3</v>
      </c>
    </row>
    <row r="9" customFormat="false" ht="15" hidden="false" customHeight="false" outlineLevel="0" collapsed="false">
      <c r="A9" s="2" t="s">
        <v>44</v>
      </c>
      <c r="B9" s="2" t="s">
        <v>43</v>
      </c>
      <c r="C9" s="2" t="n">
        <v>137.4</v>
      </c>
      <c r="D9" s="2" t="n">
        <v>251</v>
      </c>
      <c r="E9" s="2" t="n">
        <v>56.2</v>
      </c>
      <c r="F9" s="2" t="n">
        <v>3.6</v>
      </c>
      <c r="G9" s="2" t="n">
        <v>255.4</v>
      </c>
    </row>
    <row r="10" customFormat="false" ht="15" hidden="false" customHeight="false" outlineLevel="0" collapsed="false">
      <c r="A10" s="2" t="s">
        <v>45</v>
      </c>
      <c r="B10" s="2" t="s">
        <v>43</v>
      </c>
      <c r="C10" s="2" t="n">
        <v>17.3</v>
      </c>
      <c r="D10" s="2" t="n">
        <v>109.2</v>
      </c>
      <c r="E10" s="2" t="n">
        <v>18.1</v>
      </c>
      <c r="F10" s="2" t="n">
        <v>3.5</v>
      </c>
      <c r="G10" s="2" t="n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46</v>
      </c>
    </row>
    <row r="3" customFormat="false" ht="15" hidden="false" customHeight="false" outlineLevel="0" collapsed="false">
      <c r="A3" s="4" t="s">
        <v>47</v>
      </c>
      <c r="B3" s="4" t="s">
        <v>48</v>
      </c>
      <c r="C3" s="4" t="s">
        <v>49</v>
      </c>
      <c r="D3" s="4" t="s">
        <v>50</v>
      </c>
    </row>
    <row r="4" customFormat="false" ht="15" hidden="false" customHeight="false" outlineLevel="0" collapsed="false">
      <c r="A4" s="2" t="s">
        <v>51</v>
      </c>
      <c r="B4" s="2" t="n">
        <v>10</v>
      </c>
      <c r="C4" s="2" t="n">
        <v>10</v>
      </c>
      <c r="D4" s="2" t="n">
        <f aca="false">IF(B4=0,0,100*C4/B4)</f>
        <v>100</v>
      </c>
    </row>
    <row r="5" customFormat="false" ht="15" hidden="false" customHeight="false" outlineLevel="0" collapsed="false">
      <c r="A5" s="2" t="s">
        <v>52</v>
      </c>
      <c r="B5" s="2" t="n">
        <v>9</v>
      </c>
      <c r="C5" s="2" t="n">
        <v>9</v>
      </c>
      <c r="D5" s="2" t="n">
        <f aca="false">IF(B5=0,0,100*C5/B5)</f>
        <v>100</v>
      </c>
    </row>
    <row r="6" customFormat="false" ht="15" hidden="false" customHeight="false" outlineLevel="0" collapsed="false">
      <c r="A6" s="2" t="s">
        <v>20</v>
      </c>
      <c r="B6" s="2" t="n">
        <v>10</v>
      </c>
      <c r="C6" s="2" t="n">
        <v>10</v>
      </c>
      <c r="D6" s="2" t="n">
        <f aca="false">IF(B6=0,0,100*C6/B6)</f>
        <v>100</v>
      </c>
    </row>
    <row r="7" customFormat="false" ht="15" hidden="false" customHeight="false" outlineLevel="0" collapsed="false">
      <c r="A7" s="2" t="s">
        <v>26</v>
      </c>
      <c r="B7" s="2" t="n">
        <v>8</v>
      </c>
      <c r="C7" s="2" t="n">
        <v>8</v>
      </c>
      <c r="D7" s="2" t="n">
        <f aca="false">IF(B7=0,0,100*C7/B7)</f>
        <v>100</v>
      </c>
    </row>
    <row r="8" customFormat="false" ht="15" hidden="false" customHeight="false" outlineLevel="0" collapsed="false">
      <c r="A8" s="2" t="s">
        <v>27</v>
      </c>
      <c r="B8" s="2" t="n">
        <v>7</v>
      </c>
      <c r="C8" s="2" t="n">
        <v>7</v>
      </c>
      <c r="D8" s="2" t="n">
        <f aca="false">IF(B8=0,0,100*C8/B8)</f>
        <v>100</v>
      </c>
    </row>
    <row r="10" customFormat="false" ht="15" hidden="false" customHeight="false" outlineLevel="0" collapsed="false">
      <c r="A10" s="2" t="s">
        <v>53</v>
      </c>
      <c r="B10" s="2" t="n">
        <v>44</v>
      </c>
    </row>
    <row r="11" customFormat="false" ht="15" hidden="false" customHeight="false" outlineLevel="0" collapsed="false">
      <c r="A11" s="2" t="s">
        <v>54</v>
      </c>
      <c r="B11" s="2" t="n">
        <v>1456</v>
      </c>
    </row>
    <row r="12" customFormat="false" ht="15" hidden="false" customHeight="false" outlineLevel="0" collapsed="false">
      <c r="A12" s="5" t="s">
        <v>55</v>
      </c>
      <c r="B12" s="5" t="n">
        <f aca="false">IF((B10+B11)=0,0,100*B10/(B10+B11))</f>
        <v>2.93333333333333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" t="s">
        <v>56</v>
      </c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57</v>
      </c>
    </row>
    <row r="4" customFormat="false" ht="15" hidden="false" customHeight="false" outlineLevel="0" collapsed="false">
      <c r="A4" s="2" t="s">
        <v>26</v>
      </c>
      <c r="B4" s="2" t="s">
        <v>21</v>
      </c>
      <c r="C4" s="2" t="n">
        <v>0.964</v>
      </c>
    </row>
    <row r="5" customFormat="false" ht="15" hidden="false" customHeight="false" outlineLevel="0" collapsed="false">
      <c r="A5" s="2" t="s">
        <v>26</v>
      </c>
      <c r="B5" s="2" t="s">
        <v>22</v>
      </c>
      <c r="C5" s="2" t="n">
        <v>0.97</v>
      </c>
    </row>
    <row r="6" customFormat="false" ht="15" hidden="false" customHeight="false" outlineLevel="0" collapsed="false">
      <c r="A6" s="2" t="s">
        <v>26</v>
      </c>
      <c r="B6" s="2" t="s">
        <v>23</v>
      </c>
      <c r="C6" s="2" t="n">
        <v>0.951</v>
      </c>
    </row>
    <row r="7" customFormat="false" ht="15" hidden="false" customHeight="false" outlineLevel="0" collapsed="false">
      <c r="A7" s="2" t="s">
        <v>26</v>
      </c>
      <c r="B7" s="2" t="s">
        <v>24</v>
      </c>
      <c r="C7" s="2" t="n">
        <v>0.965</v>
      </c>
    </row>
    <row r="8" customFormat="false" ht="15" hidden="false" customHeight="false" outlineLevel="0" collapsed="false">
      <c r="A8" s="2" t="s">
        <v>26</v>
      </c>
      <c r="B8" s="2" t="s">
        <v>25</v>
      </c>
      <c r="C8" s="2" t="n">
        <v>0.969</v>
      </c>
    </row>
    <row r="9" customFormat="false" ht="15" hidden="false" customHeight="false" outlineLevel="0" collapsed="false">
      <c r="A9" s="2" t="s">
        <v>27</v>
      </c>
      <c r="B9" s="2" t="s">
        <v>21</v>
      </c>
      <c r="C9" s="2" t="n">
        <v>0.967</v>
      </c>
    </row>
    <row r="10" customFormat="false" ht="15" hidden="false" customHeight="false" outlineLevel="0" collapsed="false">
      <c r="A10" s="2" t="s">
        <v>27</v>
      </c>
      <c r="B10" s="2" t="s">
        <v>22</v>
      </c>
      <c r="C10" s="2" t="n">
        <v>0.96</v>
      </c>
    </row>
    <row r="11" customFormat="false" ht="15" hidden="false" customHeight="false" outlineLevel="0" collapsed="false">
      <c r="A11" s="2" t="s">
        <v>27</v>
      </c>
      <c r="B11" s="2" t="s">
        <v>23</v>
      </c>
      <c r="C11" s="2" t="n">
        <v>0.951</v>
      </c>
    </row>
    <row r="12" customFormat="false" ht="15" hidden="false" customHeight="false" outlineLevel="0" collapsed="false">
      <c r="A12" s="2" t="s">
        <v>27</v>
      </c>
      <c r="B12" s="2" t="s">
        <v>24</v>
      </c>
      <c r="C12" s="2" t="n">
        <v>0.963</v>
      </c>
    </row>
    <row r="13" customFormat="false" ht="15" hidden="false" customHeight="false" outlineLevel="0" collapsed="false">
      <c r="A13" s="2" t="s">
        <v>27</v>
      </c>
      <c r="B13" s="2" t="s">
        <v>25</v>
      </c>
      <c r="C13" s="2" t="n">
        <v>0.977</v>
      </c>
    </row>
    <row r="14" customFormat="false" ht="15" hidden="false" customHeight="false" outlineLevel="0" collapsed="false">
      <c r="A14" s="2" t="s">
        <v>20</v>
      </c>
      <c r="B14" s="2" t="s">
        <v>21</v>
      </c>
      <c r="C14" s="2" t="n">
        <v>0.953</v>
      </c>
    </row>
    <row r="15" customFormat="false" ht="15" hidden="false" customHeight="false" outlineLevel="0" collapsed="false">
      <c r="A15" s="2" t="s">
        <v>20</v>
      </c>
      <c r="B15" s="2" t="s">
        <v>22</v>
      </c>
      <c r="C15" s="2" t="n">
        <v>0.955</v>
      </c>
    </row>
    <row r="16" customFormat="false" ht="15" hidden="false" customHeight="false" outlineLevel="0" collapsed="false">
      <c r="A16" s="2" t="s">
        <v>20</v>
      </c>
      <c r="B16" s="2" t="s">
        <v>23</v>
      </c>
      <c r="C16" s="2" t="n">
        <v>0.961</v>
      </c>
    </row>
    <row r="17" customFormat="false" ht="15" hidden="false" customHeight="false" outlineLevel="0" collapsed="false">
      <c r="A17" s="2" t="s">
        <v>20</v>
      </c>
      <c r="B17" s="2" t="s">
        <v>24</v>
      </c>
      <c r="C17" s="2" t="n">
        <v>0.967</v>
      </c>
    </row>
    <row r="18" customFormat="false" ht="15" hidden="false" customHeight="false" outlineLevel="0" collapsed="false">
      <c r="A18" s="2" t="s">
        <v>20</v>
      </c>
      <c r="B18" s="2" t="s">
        <v>25</v>
      </c>
      <c r="C18" s="2" t="n">
        <v>0.973</v>
      </c>
    </row>
    <row r="20" customFormat="false" ht="15" hidden="false" customHeight="false" outlineLevel="0" collapsed="false">
      <c r="A20" s="5" t="s">
        <v>58</v>
      </c>
    </row>
    <row r="21" customFormat="false" ht="15" hidden="false" customHeight="false" outlineLevel="0" collapsed="false">
      <c r="A21" s="4" t="s">
        <v>9</v>
      </c>
      <c r="B21" s="4" t="s">
        <v>59</v>
      </c>
      <c r="C21" s="4" t="s">
        <v>60</v>
      </c>
      <c r="D21" s="4" t="s">
        <v>61</v>
      </c>
    </row>
    <row r="22" customFormat="false" ht="15" hidden="false" customHeight="false" outlineLevel="0" collapsed="false">
      <c r="A22" s="2" t="s">
        <v>26</v>
      </c>
      <c r="B22" s="2" t="s">
        <v>44</v>
      </c>
      <c r="C22" s="2" t="n">
        <v>0.06</v>
      </c>
      <c r="D22" s="2" t="n">
        <v>0.628</v>
      </c>
    </row>
    <row r="23" customFormat="false" ht="15" hidden="false" customHeight="false" outlineLevel="0" collapsed="false">
      <c r="A23" s="2" t="s">
        <v>26</v>
      </c>
      <c r="B23" s="2" t="s">
        <v>45</v>
      </c>
      <c r="C23" s="2" t="n">
        <v>0.092</v>
      </c>
      <c r="D23" s="2" t="n">
        <v>0.694</v>
      </c>
    </row>
    <row r="24" customFormat="false" ht="15" hidden="false" customHeight="false" outlineLevel="0" collapsed="false">
      <c r="A24" s="2" t="s">
        <v>27</v>
      </c>
      <c r="B24" s="2" t="s">
        <v>44</v>
      </c>
      <c r="C24" s="2" t="n">
        <v>0.034</v>
      </c>
      <c r="D24" s="2" t="n">
        <v>0.779</v>
      </c>
    </row>
    <row r="25" customFormat="false" ht="15" hidden="false" customHeight="false" outlineLevel="0" collapsed="false">
      <c r="A25" s="2" t="s">
        <v>27</v>
      </c>
      <c r="B25" s="2" t="s">
        <v>45</v>
      </c>
      <c r="C25" s="2" t="n">
        <v>0.033</v>
      </c>
      <c r="D25" s="2" t="n">
        <v>0.562</v>
      </c>
    </row>
    <row r="26" customFormat="false" ht="15" hidden="false" customHeight="false" outlineLevel="0" collapsed="false">
      <c r="A26" s="2" t="s">
        <v>20</v>
      </c>
      <c r="B26" s="2" t="s">
        <v>44</v>
      </c>
      <c r="C26" s="2" t="n">
        <v>0.057</v>
      </c>
      <c r="D26" s="2" t="n">
        <v>0.777</v>
      </c>
    </row>
    <row r="27" customFormat="false" ht="15" hidden="false" customHeight="false" outlineLevel="0" collapsed="false">
      <c r="A27" s="2" t="s">
        <v>20</v>
      </c>
      <c r="B27" s="2" t="s">
        <v>45</v>
      </c>
      <c r="C27" s="2" t="n">
        <v>0.078</v>
      </c>
      <c r="D27" s="2" t="n">
        <v>0.779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</cols>
  <sheetData>
    <row r="1" customFormat="false" ht="15" hidden="false" customHeight="false" outlineLevel="0" collapsed="false">
      <c r="A1" s="1" t="s">
        <v>62</v>
      </c>
    </row>
    <row r="3" customFormat="false" ht="15" hidden="false" customHeight="false" outlineLevel="0" collapsed="false">
      <c r="A3" s="4" t="s">
        <v>9</v>
      </c>
      <c r="B3" s="4" t="s">
        <v>63</v>
      </c>
      <c r="C3" s="4" t="s">
        <v>64</v>
      </c>
    </row>
    <row r="4" customFormat="false" ht="15" hidden="false" customHeight="false" outlineLevel="0" collapsed="false">
      <c r="A4" s="2" t="s">
        <v>65</v>
      </c>
      <c r="B4" s="2" t="s">
        <v>66</v>
      </c>
      <c r="C4" s="2" t="n">
        <v>0.411</v>
      </c>
    </row>
    <row r="5" customFormat="false" ht="15" hidden="false" customHeight="false" outlineLevel="0" collapsed="false">
      <c r="A5" s="2" t="s">
        <v>65</v>
      </c>
      <c r="B5" s="2" t="s">
        <v>67</v>
      </c>
      <c r="C5" s="2" t="n">
        <v>0.267</v>
      </c>
    </row>
    <row r="6" customFormat="false" ht="15" hidden="false" customHeight="false" outlineLevel="0" collapsed="false">
      <c r="A6" s="2" t="s">
        <v>65</v>
      </c>
      <c r="B6" s="2" t="s">
        <v>68</v>
      </c>
      <c r="C6" s="2" t="n">
        <v>0.217</v>
      </c>
    </row>
    <row r="7" customFormat="false" ht="15" hidden="false" customHeight="false" outlineLevel="0" collapsed="false">
      <c r="A7" s="2" t="s">
        <v>65</v>
      </c>
      <c r="B7" s="2" t="s">
        <v>69</v>
      </c>
      <c r="C7" s="2" t="n">
        <v>0.288</v>
      </c>
    </row>
    <row r="8" customFormat="false" ht="15" hidden="false" customHeight="false" outlineLevel="0" collapsed="false">
      <c r="A8" s="2" t="s">
        <v>65</v>
      </c>
      <c r="B8" s="2" t="s">
        <v>70</v>
      </c>
      <c r="C8" s="2" t="n">
        <v>0.138</v>
      </c>
    </row>
    <row r="9" customFormat="false" ht="15" hidden="false" customHeight="false" outlineLevel="0" collapsed="false">
      <c r="A9" s="2" t="s">
        <v>71</v>
      </c>
      <c r="B9" s="2" t="s">
        <v>66</v>
      </c>
      <c r="C9" s="2" t="n">
        <v>0.391</v>
      </c>
    </row>
    <row r="10" customFormat="false" ht="15" hidden="false" customHeight="false" outlineLevel="0" collapsed="false">
      <c r="A10" s="2" t="s">
        <v>71</v>
      </c>
      <c r="B10" s="2" t="s">
        <v>67</v>
      </c>
      <c r="C10" s="2" t="n">
        <v>0.577</v>
      </c>
    </row>
    <row r="11" customFormat="false" ht="15" hidden="false" customHeight="false" outlineLevel="0" collapsed="false">
      <c r="A11" s="2" t="s">
        <v>71</v>
      </c>
      <c r="B11" s="2" t="s">
        <v>68</v>
      </c>
      <c r="C11" s="2" t="n">
        <v>0.223</v>
      </c>
    </row>
    <row r="12" customFormat="false" ht="15" hidden="false" customHeight="false" outlineLevel="0" collapsed="false">
      <c r="A12" s="2" t="s">
        <v>71</v>
      </c>
      <c r="B12" s="2" t="s">
        <v>69</v>
      </c>
      <c r="C12" s="2" t="n">
        <v>0.497</v>
      </c>
    </row>
    <row r="13" customFormat="false" ht="15" hidden="false" customHeight="false" outlineLevel="0" collapsed="false">
      <c r="A13" s="2" t="s">
        <v>71</v>
      </c>
      <c r="B13" s="2" t="s">
        <v>70</v>
      </c>
      <c r="C13" s="2" t="n">
        <v>0.426</v>
      </c>
    </row>
    <row r="14" customFormat="false" ht="15" hidden="false" customHeight="false" outlineLevel="0" collapsed="false">
      <c r="A14" s="2" t="s">
        <v>72</v>
      </c>
      <c r="B14" s="2" t="s">
        <v>66</v>
      </c>
      <c r="C14" s="2" t="n">
        <v>0.534</v>
      </c>
    </row>
    <row r="15" customFormat="false" ht="15" hidden="false" customHeight="false" outlineLevel="0" collapsed="false">
      <c r="A15" s="2" t="s">
        <v>72</v>
      </c>
      <c r="B15" s="2" t="s">
        <v>67</v>
      </c>
      <c r="C15" s="2" t="n">
        <v>0.149</v>
      </c>
    </row>
    <row r="16" customFormat="false" ht="15" hidden="false" customHeight="false" outlineLevel="0" collapsed="false">
      <c r="A16" s="2" t="s">
        <v>72</v>
      </c>
      <c r="B16" s="2" t="s">
        <v>68</v>
      </c>
      <c r="C16" s="2" t="n">
        <v>0.059</v>
      </c>
    </row>
    <row r="17" customFormat="false" ht="15" hidden="false" customHeight="false" outlineLevel="0" collapsed="false">
      <c r="A17" s="2" t="s">
        <v>72</v>
      </c>
      <c r="B17" s="2" t="s">
        <v>69</v>
      </c>
      <c r="C17" s="2" t="n">
        <v>0.149</v>
      </c>
    </row>
    <row r="18" customFormat="false" ht="15" hidden="false" customHeight="false" outlineLevel="0" collapsed="false">
      <c r="A18" s="2" t="s">
        <v>72</v>
      </c>
      <c r="B18" s="2" t="s">
        <v>70</v>
      </c>
      <c r="C18" s="2" t="n">
        <v>0.581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2026-06-28T06:20:08Z</dcterms:created>
  <dc:creator>openpyxl</dc:creator>
  <dc:description/>
  <dc:language>en-US</dc:language>
  <cp:lastModifiedBy/>
  <dcterms:modified xsi:type="dcterms:W3CDTF">2026-06-28T06:20:09Z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